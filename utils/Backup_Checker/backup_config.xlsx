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phenomenetworks-my.sharepoint.com/personal/itay-b_phenomenetworks_onmicrosoft_com/Documents/Laptop_Documents/GitHub/scripts/utils/Backup_Checker/"/>
    </mc:Choice>
  </mc:AlternateContent>
  <xr:revisionPtr revIDLastSave="46" documentId="8_{06BF08A4-A50F-4ED7-A0FC-6A974502048A}" xr6:coauthVersionLast="47" xr6:coauthVersionMax="47" xr10:uidLastSave="{D637C613-07E2-4246-AFE2-025605F13B40}"/>
  <bookViews>
    <workbookView xWindow="-120" yWindow="-120" windowWidth="29040" windowHeight="15720" tabRatio="500" xr2:uid="{00000000-000D-0000-FFFF-FFFF00000000}"/>
  </bookViews>
  <sheets>
    <sheet name="Backup Config" sheetId="1" r:id="rId1"/>
    <sheet name="Instructions" sheetId="2" r:id="rId2"/>
  </sheets>
  <definedNames>
    <definedName name="_xlnm._FilterDatabase" localSheetId="0" hidden="1">'Backup Config'!$A$2:$F$39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3" i="1" l="1"/>
  <c r="F35" i="1"/>
  <c r="F37" i="1"/>
  <c r="F36" i="1"/>
  <c r="F42" i="1"/>
  <c r="F41" i="1"/>
  <c r="F40" i="1"/>
  <c r="F39" i="1"/>
  <c r="F38" i="1"/>
  <c r="F34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<sst xmlns="http://schemas.openxmlformats.org/spreadsheetml/2006/main" count="229" uniqueCount="124">
  <si>
    <t>Phenome Networks — RDS Backup S3 Configuration</t>
  </si>
  <si>
    <t>#</t>
  </si>
  <si>
    <t>Customer</t>
  </si>
  <si>
    <t>Group</t>
  </si>
  <si>
    <t>Bucket Name</t>
  </si>
  <si>
    <t>Prefix (backup parent folder)</t>
  </si>
  <si>
    <t>S3 URI  [auto]</t>
  </si>
  <si>
    <t>Enabled</t>
  </si>
  <si>
    <t>Production</t>
  </si>
  <si>
    <t>Phenome Networks</t>
  </si>
  <si>
    <t>phn-p2g.prod-rds-backup</t>
  </si>
  <si>
    <t>rds_weekly_backup</t>
  </si>
  <si>
    <t>Yes</t>
  </si>
  <si>
    <t>Sakata</t>
  </si>
  <si>
    <t>phenome-sakata-weekly-backup</t>
  </si>
  <si>
    <t>rds-weekly-backups</t>
  </si>
  <si>
    <t>Sakata - Test</t>
  </si>
  <si>
    <t>phenome-sakatatest-weekly-backup</t>
  </si>
  <si>
    <t>Top Seeds</t>
  </si>
  <si>
    <t>phenome-topseeds-mysql-backup</t>
  </si>
  <si>
    <t>Kimberly Clark - EKS</t>
  </si>
  <si>
    <t>Kimberly Clark</t>
  </si>
  <si>
    <t>phenome-kimberly-clark-mysql-backup</t>
  </si>
  <si>
    <t>East West Seeds</t>
  </si>
  <si>
    <t>ews-mysql-weekly-backups</t>
  </si>
  <si>
    <t>weekly_backup</t>
  </si>
  <si>
    <t>Danziger</t>
  </si>
  <si>
    <t>phenome-danziger-mysql-backup</t>
  </si>
  <si>
    <t>Starke Ayres</t>
  </si>
  <si>
    <t>phenome-starkeayres-mysql</t>
  </si>
  <si>
    <t>weekly_backups</t>
  </si>
  <si>
    <t>Gautier</t>
  </si>
  <si>
    <t>phenome-gautier-rds-backup</t>
  </si>
  <si>
    <t>Mahyco</t>
  </si>
  <si>
    <t>phenome-mahyco-mysql-backup</t>
  </si>
  <si>
    <t>Planasa</t>
  </si>
  <si>
    <t>phenome-planasnew-mysql-weekly</t>
  </si>
  <si>
    <t>Farm Hannong</t>
  </si>
  <si>
    <t>phenome-farm-hannong-mysql-backup</t>
  </si>
  <si>
    <t>Kaiima</t>
  </si>
  <si>
    <t>phenome-kaiima-mysql-backup</t>
  </si>
  <si>
    <t>Kraftheinz</t>
  </si>
  <si>
    <t>phenome-kraftheinz-mysql-weekly-backup</t>
  </si>
  <si>
    <t>Pepsico</t>
  </si>
  <si>
    <t>phenome-pepsico-mysql-backup</t>
  </si>
  <si>
    <t>Origene</t>
  </si>
  <si>
    <t>phenome-origene-mysql-backup</t>
  </si>
  <si>
    <t>East West Seeds Indonesia</t>
  </si>
  <si>
    <t>ews-indonesia-mysql-daily-backups</t>
  </si>
  <si>
    <t>Ramiro</t>
  </si>
  <si>
    <t>phenome-ramiro-mysql-weekly</t>
  </si>
  <si>
    <t>McCain</t>
  </si>
  <si>
    <t>phenome-mccain-mysql-weekly</t>
  </si>
  <si>
    <t>Seedworks</t>
  </si>
  <si>
    <t>phenome-seedworks-mysql-backup</t>
  </si>
  <si>
    <t>Ball</t>
  </si>
  <si>
    <t>phenome-ball-mysql-backup</t>
  </si>
  <si>
    <t>Axia Seeds (VoloAgri)</t>
  </si>
  <si>
    <t>VoloAgri</t>
  </si>
  <si>
    <t>phenome-onprem-mysql-backup</t>
  </si>
  <si>
    <t>axia</t>
  </si>
  <si>
    <t>Gates Ag One</t>
  </si>
  <si>
    <t>phenome-gatesagonetest-mysql-weekly-backup</t>
  </si>
  <si>
    <t>Gates Ag One - TEST</t>
  </si>
  <si>
    <t>phenome-gatesagone-weekly</t>
  </si>
  <si>
    <t>Fito</t>
  </si>
  <si>
    <t>phenome-fito-mysql-weekly</t>
  </si>
  <si>
    <t>Solynta</t>
  </si>
  <si>
    <t>phenome-solynta-mysql-weekly</t>
  </si>
  <si>
    <t>Solynta - TEST</t>
  </si>
  <si>
    <t>phenome-testsolynta-rds-backup</t>
  </si>
  <si>
    <t>Syngenta</t>
  </si>
  <si>
    <t>phenome-syngenta-mysql-weekly</t>
  </si>
  <si>
    <t>S&amp;A Produce UK</t>
  </si>
  <si>
    <t>S&amp;A Produce</t>
  </si>
  <si>
    <t>phenome-saproduceuk-rds-backup</t>
  </si>
  <si>
    <t>BASF - Production</t>
  </si>
  <si>
    <t>BASF</t>
  </si>
  <si>
    <t>No</t>
  </si>
  <si>
    <t>BASF - QA (QUAL)</t>
  </si>
  <si>
    <t>BASF - DEV</t>
  </si>
  <si>
    <t>BASF - Migration</t>
  </si>
  <si>
    <t>GDM Production</t>
  </si>
  <si>
    <t>GDM</t>
  </si>
  <si>
    <t>Enza Test</t>
  </si>
  <si>
    <t>Enza Zaden</t>
  </si>
  <si>
    <t>Enza Accept</t>
  </si>
  <si>
    <t>enza-accept-database-backup</t>
  </si>
  <si>
    <t>Enza Production</t>
  </si>
  <si>
    <t>enza-prod-weekly-database-backup</t>
  </si>
  <si>
    <t>HARMONIZ</t>
  </si>
  <si>
    <t>phenome-harmoniz-mysql-backup</t>
  </si>
  <si>
    <t>GDM Seeds - DEV</t>
  </si>
  <si>
    <t>gdmseeds-dev-db-backup</t>
  </si>
  <si>
    <t>Harnesstom</t>
  </si>
  <si>
    <t>phenome-harnesstom-mysql-backup</t>
  </si>
  <si>
    <t>Phenome Networks — Backup Config Instructions</t>
  </si>
  <si>
    <t>How to use this file</t>
  </si>
  <si>
    <t>1. Fill in 'Bucket Name' (column D) — just the bucket name, no s3:// prefix.</t>
  </si>
  <si>
    <t>2. Fill in 'Prefix' (column E) — the parent folder where the date subfolder is created.</t>
  </si>
  <si>
    <t xml:space="preserve">   Example:  bucket = ews-indonesia-mysql-daily-backups  |  prefix = rds_weekly_backup</t>
  </si>
  <si>
    <t xml:space="preserve">   The script will look inside: s3://ews-indonesia-mysql-daily-backups/rds_weekly_backup/2026-05-09/</t>
  </si>
  <si>
    <t>3. Column F (S3 URI) is calculated automatically — do not edit it.</t>
  </si>
  <si>
    <t>4. To add a new customer: add a new row at the bottom and fill columns A–E.</t>
  </si>
  <si>
    <t>Running the script</t>
  </si>
  <si>
    <t>pip install boto3 openpyxl</t>
  </si>
  <si>
    <t>python backup_checker.py --config buckets.xlsx --profile your-aws-profile</t>
  </si>
  <si>
    <t>Flags</t>
  </si>
  <si>
    <t>--config         Path to this Excel file (default: buckets.xlsx)</t>
  </si>
  <si>
    <t>--output         Output JSON path (default: backup_report.json)</t>
  </si>
  <si>
    <t>--profile        AWS profile name</t>
  </si>
  <si>
    <t>--min-size-mb    Flag backups smaller than N MB as 'suspect' (default: 100)</t>
  </si>
  <si>
    <t>Status definitions</t>
  </si>
  <si>
    <t>✓  OK           Backup found, file size above threshold</t>
  </si>
  <si>
    <t>✗  Missing      No date folder or no files found in the folder</t>
  </si>
  <si>
    <t>⚠  Suspect      Files found but total size is below --min-size-mb threshold</t>
  </si>
  <si>
    <t>—  N/A          Bucket or prefix not configured (empty cells)</t>
  </si>
  <si>
    <t>gdmseeds-prod-db-backup</t>
  </si>
  <si>
    <t>enza-test-database-backup</t>
  </si>
  <si>
    <t>phen-basf-prod-backup-mysql-weekly</t>
  </si>
  <si>
    <t xml:space="preserve">basf-dev-database-backup </t>
  </si>
  <si>
    <t>weekly_backup/</t>
  </si>
  <si>
    <t>basf-qual-backup-mysql-weekly</t>
  </si>
  <si>
    <t>basf-mig-database-backup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</si>
</sst>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i/>
      <sz val="10"/>
      <color rgb="FF185FA5"/>
      <name val="Arial"/>
      <charset val="1"/>
    </font>
    <font>
      <b/>
      <sz val="10"/>
      <color rgb="FF375623"/>
      <name val="Arial"/>
      <charset val="1"/>
    </font>
    <font>
      <b/>
      <sz val="8"/>
      <color rgb="FF656871"/>
      <name val="Arial"/>
      <family val="2"/>
      <charset val="1"/>
    </font>
    <font>
      <u/>
      <sz val="11"/>
      <color theme="10"/>
      <name val="Calibri"/>
      <family val="2"/>
      <charset val="1"/>
    </font>
    <font>
      <sz val="10"/>
      <color rgb="FF000000"/>
      <name val="Arial"/>
      <family val="2"/>
      <charset val="1"/>
    </font>
    <font>
      <b/>
      <sz val="14"/>
      <color rgb="FF0D2137"/>
      <name val="Arial"/>
      <charset val="1"/>
    </font>
    <font>
      <sz val="11"/>
      <color rgb="FF000000"/>
      <name val="Arial"/>
      <charset val="1"/>
    </font>
    <font>
      <b/>
      <sz val="12"/>
      <color rgb="FF1F3864"/>
      <name val="Arial"/>
      <charset val="1"/>
    </font>
    <font>
      <sz val="11"/>
      <color rgb="FF666666"/>
      <name val="Arial"/>
      <charset val="1"/>
    </font>
    <font>
      <sz val="11"/>
      <color rgb="FF185FA5"/>
      <name val="Arial"/>
      <charset val="1"/>
    </font>
    <font>
      <sz val="11"/>
      <color rgb="FF3B6D11"/>
      <name val="Arial"/>
      <charset val="1"/>
    </font>
    <font>
      <sz val="11"/>
      <color rgb="FFA32D2D"/>
      <name val="Arial"/>
      <charset val="1"/>
    </font>
    <font>
      <sz val="11"/>
      <color rgb="FF854F0B"/>
      <name val="Arial"/>
      <charset val="1"/>
    </font>
    <font>
      <sz val="10"/>
      <color rgb="FF000000"/>
      <name val="Arial"/>
      <family val="2"/>
    </font>
    <font>
      <b/>
      <sz val="18"/>
      <color rgb="FF0F141A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D2137"/>
        <bgColor rgb="FF1F3864"/>
      </patternFill>
    </fill>
    <fill>
      <patternFill patternType="solid">
        <fgColor rgb="FF1F3864"/>
        <bgColor rgb="FF333399"/>
      </patternFill>
    </fill>
    <fill>
      <patternFill patternType="solid">
        <fgColor rgb="FFFFFFFF"/>
        <bgColor rgb="FFF2F6FC"/>
      </patternFill>
    </fill>
    <fill>
      <patternFill patternType="solid">
        <fgColor rgb="FFEAF3DE"/>
        <bgColor rgb="FFF2F6FC"/>
      </patternFill>
    </fill>
    <fill>
      <patternFill patternType="solid">
        <fgColor rgb="FFF2F6FC"/>
        <bgColor rgb="FFFFFFFF"/>
      </patternFill>
    </fill>
  </fills>
  <borders count="2">
    <border>
      <left/>
      <right/>
      <top/>
      <bottom/>
      <diagonal/>
    </border>
    <border>
      <left style="thin">
        <color rgb="FFB8C9E4"/>
      </left>
      <right style="thin">
        <color rgb="FFB8C9E4"/>
      </right>
      <top style="thin">
        <color rgb="FFB8C9E4"/>
      </top>
      <bottom style="thin">
        <color rgb="FFB8C9E4"/>
      </bottom>
      <diagonal/>
    </border>
  </borders>
  <cellStyleXfs count="2">
    <xf numFmtId="0" fontId="0" fillId="0" borderId="0"/>
    <xf numFmtId="0" fontId="8" fillId="0" borderId="0"/>
  </cellStyleXfs>
  <cellXfs count="2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7" fillId="0" borderId="0" xfId="0" applyFont="1"/>
    <xf numFmtId="0" fontId="8" fillId="0" borderId="0" xfId="1" applyAlignment="1">
      <alignment horizontal="left" vertical="center" wrapText="1" indent="1"/>
    </xf>
    <xf numFmtId="0" fontId="9" fillId="6" borderId="1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ill="1"/>
    <xf numFmtId="0" fontId="18" fillId="6" borderId="1" xfId="0" applyFont="1" applyFill="1" applyBorder="1" applyAlignment="1">
      <alignment vertical="center"/>
    </xf>
    <xf numFmtId="0" fontId="1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854F0B"/>
      <rgbColor rgb="FF800080"/>
      <rgbColor rgb="FF008080"/>
      <rgbColor rgb="FFC0C0C0"/>
      <rgbColor rgb="FF666666"/>
      <rgbColor rgb="FF9999FF"/>
      <rgbColor rgb="FF993366"/>
      <rgbColor rgb="FFEAF3DE"/>
      <rgbColor rgb="FFF2F6FC"/>
      <rgbColor rgb="FF660066"/>
      <rgbColor rgb="FFFF8080"/>
      <rgbColor rgb="FF185FA5"/>
      <rgbColor rgb="FFB8C9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56871"/>
      <rgbColor rgb="FF969696"/>
      <rgbColor rgb="FF1F3864"/>
      <rgbColor rgb="FF339966"/>
      <rgbColor rgb="FF0D2137"/>
      <rgbColor rgb="FF333300"/>
      <rgbColor rgb="FFA32D2D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524574648815-6n2hmjzt.ap-northeast-2.console.aws.amazon.com/s3/buckets/phenome-farm-hannong-mysql-backup?prefix=rds_weekly_backu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zoomScaleNormal="100" workbookViewId="0">
      <pane ySplit="2" topLeftCell="A5" activePane="bottomLeft" state="frozen"/>
      <selection pane="bottomLeft" activeCell="A19" sqref="A19:XFD19"/>
    </sheetView>
  </sheetViews>
  <sheetFormatPr defaultColWidth="8.7109375" defaultRowHeight="15" x14ac:dyDescent="0.25"/>
  <cols>
    <col min="1" max="1" width="6.5703125" customWidth="1"/>
    <col min="2" max="2" width="25.140625" customWidth="1"/>
    <col min="3" max="3" width="16.7109375" customWidth="1"/>
    <col min="4" max="4" width="49.85546875" customWidth="1"/>
    <col min="5" max="5" width="33.5703125" customWidth="1"/>
    <col min="6" max="6" width="56.5703125" customWidth="1"/>
    <col min="7" max="7" width="8.85546875" customWidth="1"/>
  </cols>
  <sheetData>
    <row r="1" spans="1:7" ht="31.5" customHeight="1" x14ac:dyDescent="0.25">
      <c r="A1" s="21" t="s">
        <v>0</v>
      </c>
      <c r="B1" s="21"/>
      <c r="C1" s="21"/>
      <c r="D1" s="21"/>
      <c r="E1" s="21"/>
      <c r="F1" s="21"/>
    </row>
    <row r="2" spans="1:7" ht="27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</row>
    <row r="3" spans="1:7" ht="19.5" customHeight="1" x14ac:dyDescent="0.25">
      <c r="A3" s="3">
        <v>1</v>
      </c>
      <c r="B3" s="4" t="s">
        <v>8</v>
      </c>
      <c r="C3" s="3" t="s">
        <v>9</v>
      </c>
      <c r="D3" s="3" t="s">
        <v>10</v>
      </c>
      <c r="E3" s="3" t="s">
        <v>11</v>
      </c>
      <c r="F3" s="5" t="str">
        <f t="shared" ref="F3:F42" si="0">IF(AND(D3&lt;&gt;"",E3&lt;&gt;""),"s3://"&amp;D3&amp;"/"&amp;E3&amp;"/","")</f>
        <v>s3://phn-p2g.prod-rds-backup/rds_weekly_backup/</v>
      </c>
      <c r="G3" s="6" t="s">
        <v>12</v>
      </c>
    </row>
    <row r="4" spans="1:7" ht="19.5" customHeight="1" x14ac:dyDescent="0.25">
      <c r="A4" s="7">
        <v>2</v>
      </c>
      <c r="B4" s="8" t="s">
        <v>13</v>
      </c>
      <c r="C4" s="7" t="s">
        <v>13</v>
      </c>
      <c r="D4" s="7" t="s">
        <v>14</v>
      </c>
      <c r="E4" s="7" t="s">
        <v>15</v>
      </c>
      <c r="F4" s="9" t="str">
        <f t="shared" si="0"/>
        <v>s3://phenome-sakata-weekly-backup/rds-weekly-backups/</v>
      </c>
      <c r="G4" s="6" t="s">
        <v>12</v>
      </c>
    </row>
    <row r="5" spans="1:7" ht="19.5" customHeight="1" x14ac:dyDescent="0.25">
      <c r="A5" s="3">
        <v>3</v>
      </c>
      <c r="B5" s="4" t="s">
        <v>16</v>
      </c>
      <c r="C5" s="3" t="s">
        <v>13</v>
      </c>
      <c r="D5" s="3" t="s">
        <v>17</v>
      </c>
      <c r="E5" s="3" t="s">
        <v>11</v>
      </c>
      <c r="F5" s="5" t="str">
        <f t="shared" si="0"/>
        <v>s3://phenome-sakatatest-weekly-backup/rds_weekly_backup/</v>
      </c>
      <c r="G5" s="6" t="s">
        <v>12</v>
      </c>
    </row>
    <row r="6" spans="1:7" ht="19.5" customHeight="1" x14ac:dyDescent="0.25">
      <c r="A6" s="7">
        <v>4</v>
      </c>
      <c r="B6" s="8" t="s">
        <v>18</v>
      </c>
      <c r="C6" s="7" t="s">
        <v>18</v>
      </c>
      <c r="D6" s="7" t="s">
        <v>19</v>
      </c>
      <c r="E6" s="7" t="s">
        <v>11</v>
      </c>
      <c r="F6" s="9" t="str">
        <f t="shared" si="0"/>
        <v>s3://phenome-topseeds-mysql-backup/rds_weekly_backup/</v>
      </c>
      <c r="G6" s="6" t="s">
        <v>12</v>
      </c>
    </row>
    <row r="7" spans="1:7" ht="19.5" customHeight="1" x14ac:dyDescent="0.25">
      <c r="A7" s="3">
        <v>5</v>
      </c>
      <c r="B7" s="4" t="s">
        <v>20</v>
      </c>
      <c r="C7" s="3" t="s">
        <v>21</v>
      </c>
      <c r="D7" s="7" t="s">
        <v>22</v>
      </c>
      <c r="E7" s="10" t="s">
        <v>11</v>
      </c>
      <c r="F7" s="5" t="str">
        <f t="shared" si="0"/>
        <v>s3://phenome-kimberly-clark-mysql-backup/rds_weekly_backup/</v>
      </c>
      <c r="G7" s="6" t="s">
        <v>12</v>
      </c>
    </row>
    <row r="8" spans="1:7" ht="19.5" customHeight="1" x14ac:dyDescent="0.25">
      <c r="A8" s="7">
        <v>6</v>
      </c>
      <c r="B8" s="8" t="s">
        <v>23</v>
      </c>
      <c r="C8" s="7" t="s">
        <v>23</v>
      </c>
      <c r="D8" s="7" t="s">
        <v>24</v>
      </c>
      <c r="E8" s="7" t="s">
        <v>25</v>
      </c>
      <c r="F8" s="9" t="str">
        <f t="shared" si="0"/>
        <v>s3://ews-mysql-weekly-backups/weekly_backup/</v>
      </c>
      <c r="G8" s="6" t="s">
        <v>12</v>
      </c>
    </row>
    <row r="9" spans="1:7" ht="19.5" customHeight="1" x14ac:dyDescent="0.25">
      <c r="A9" s="3">
        <v>7</v>
      </c>
      <c r="B9" s="4" t="s">
        <v>26</v>
      </c>
      <c r="C9" s="3" t="s">
        <v>26</v>
      </c>
      <c r="D9" s="3" t="s">
        <v>27</v>
      </c>
      <c r="E9" s="3" t="s">
        <v>25</v>
      </c>
      <c r="F9" s="5" t="str">
        <f t="shared" si="0"/>
        <v>s3://phenome-danziger-mysql-backup/weekly_backup/</v>
      </c>
      <c r="G9" s="6" t="s">
        <v>12</v>
      </c>
    </row>
    <row r="10" spans="1:7" ht="19.5" customHeight="1" x14ac:dyDescent="0.25">
      <c r="A10" s="7">
        <v>8</v>
      </c>
      <c r="B10" s="8" t="s">
        <v>28</v>
      </c>
      <c r="C10" s="7" t="s">
        <v>28</v>
      </c>
      <c r="D10" s="7" t="s">
        <v>29</v>
      </c>
      <c r="E10" s="7" t="s">
        <v>30</v>
      </c>
      <c r="F10" s="9" t="str">
        <f t="shared" si="0"/>
        <v>s3://phenome-starkeayres-mysql/weekly_backups/</v>
      </c>
      <c r="G10" s="6" t="s">
        <v>12</v>
      </c>
    </row>
    <row r="11" spans="1:7" ht="19.5" customHeight="1" x14ac:dyDescent="0.25">
      <c r="A11" s="3">
        <v>9</v>
      </c>
      <c r="B11" s="4" t="s">
        <v>31</v>
      </c>
      <c r="C11" s="3" t="s">
        <v>31</v>
      </c>
      <c r="D11" s="3" t="s">
        <v>32</v>
      </c>
      <c r="E11" s="3" t="s">
        <v>30</v>
      </c>
      <c r="F11" s="5" t="str">
        <f t="shared" si="0"/>
        <v>s3://phenome-gautier-rds-backup/weekly_backups/</v>
      </c>
      <c r="G11" s="6" t="s">
        <v>12</v>
      </c>
    </row>
    <row r="12" spans="1:7" ht="19.5" customHeight="1" x14ac:dyDescent="0.25">
      <c r="A12" s="7">
        <v>10</v>
      </c>
      <c r="B12" s="8" t="s">
        <v>33</v>
      </c>
      <c r="C12" s="7" t="s">
        <v>33</v>
      </c>
      <c r="D12" s="7" t="s">
        <v>34</v>
      </c>
      <c r="E12" s="7" t="s">
        <v>11</v>
      </c>
      <c r="F12" s="9" t="str">
        <f t="shared" si="0"/>
        <v>s3://phenome-mahyco-mysql-backup/rds_weekly_backup/</v>
      </c>
      <c r="G12" s="6" t="s">
        <v>12</v>
      </c>
    </row>
    <row r="13" spans="1:7" ht="19.5" customHeight="1" x14ac:dyDescent="0.25">
      <c r="A13" s="3">
        <v>11</v>
      </c>
      <c r="B13" s="4" t="s">
        <v>35</v>
      </c>
      <c r="C13" s="3" t="s">
        <v>35</v>
      </c>
      <c r="D13" s="3" t="s">
        <v>36</v>
      </c>
      <c r="E13" s="3" t="s">
        <v>25</v>
      </c>
      <c r="F13" s="5" t="str">
        <f t="shared" si="0"/>
        <v>s3://phenome-planasnew-mysql-weekly/weekly_backup/</v>
      </c>
      <c r="G13" s="6" t="s">
        <v>12</v>
      </c>
    </row>
    <row r="14" spans="1:7" ht="19.5" customHeight="1" x14ac:dyDescent="0.25">
      <c r="A14" s="7">
        <v>12</v>
      </c>
      <c r="B14" s="8" t="s">
        <v>37</v>
      </c>
      <c r="C14" s="7" t="s">
        <v>37</v>
      </c>
      <c r="D14" s="7" t="s">
        <v>38</v>
      </c>
      <c r="E14" s="11" t="s">
        <v>11</v>
      </c>
      <c r="F14" s="9" t="str">
        <f t="shared" si="0"/>
        <v>s3://phenome-farm-hannong-mysql-backup/rds_weekly_backup/</v>
      </c>
      <c r="G14" s="6" t="s">
        <v>12</v>
      </c>
    </row>
    <row r="15" spans="1:7" ht="19.5" customHeight="1" x14ac:dyDescent="0.25">
      <c r="A15" s="3">
        <v>13</v>
      </c>
      <c r="B15" s="4" t="s">
        <v>39</v>
      </c>
      <c r="C15" s="3" t="s">
        <v>39</v>
      </c>
      <c r="D15" s="3" t="s">
        <v>40</v>
      </c>
      <c r="E15" s="3" t="s">
        <v>11</v>
      </c>
      <c r="F15" s="5" t="str">
        <f t="shared" si="0"/>
        <v>s3://phenome-kaiima-mysql-backup/rds_weekly_backup/</v>
      </c>
      <c r="G15" s="6" t="s">
        <v>12</v>
      </c>
    </row>
    <row r="16" spans="1:7" ht="19.5" customHeight="1" x14ac:dyDescent="0.25">
      <c r="A16" s="7">
        <v>14</v>
      </c>
      <c r="B16" s="8" t="s">
        <v>41</v>
      </c>
      <c r="C16" s="7" t="s">
        <v>41</v>
      </c>
      <c r="D16" s="7" t="s">
        <v>42</v>
      </c>
      <c r="E16" s="7" t="s">
        <v>30</v>
      </c>
      <c r="F16" s="9" t="str">
        <f t="shared" si="0"/>
        <v>s3://phenome-kraftheinz-mysql-weekly-backup/weekly_backups/</v>
      </c>
      <c r="G16" s="6" t="s">
        <v>12</v>
      </c>
    </row>
    <row r="17" spans="1:7" ht="19.5" customHeight="1" x14ac:dyDescent="0.25">
      <c r="A17" s="3">
        <v>15</v>
      </c>
      <c r="B17" s="4" t="s">
        <v>43</v>
      </c>
      <c r="C17" s="3" t="s">
        <v>43</v>
      </c>
      <c r="D17" s="3" t="s">
        <v>44</v>
      </c>
      <c r="E17" s="3" t="s">
        <v>25</v>
      </c>
      <c r="F17" s="5" t="str">
        <f t="shared" si="0"/>
        <v>s3://phenome-pepsico-mysql-backup/weekly_backup/</v>
      </c>
      <c r="G17" s="6" t="s">
        <v>12</v>
      </c>
    </row>
    <row r="18" spans="1:7" ht="19.5" customHeight="1" x14ac:dyDescent="0.25">
      <c r="A18" s="7">
        <v>16</v>
      </c>
      <c r="B18" s="8" t="s">
        <v>45</v>
      </c>
      <c r="C18" s="7" t="s">
        <v>45</v>
      </c>
      <c r="D18" s="7" t="s">
        <v>46</v>
      </c>
      <c r="E18" s="7" t="s">
        <v>11</v>
      </c>
      <c r="F18" s="9" t="str">
        <f t="shared" si="0"/>
        <v>s3://phenome-origene-mysql-backup/rds_weekly_backup/</v>
      </c>
      <c r="G18" s="6" t="s">
        <v>12</v>
      </c>
    </row>
    <row r="19" spans="1:7" ht="19.5" customHeight="1" x14ac:dyDescent="0.25">
      <c r="A19" s="7">
        <v>18</v>
      </c>
      <c r="B19" s="8" t="s">
        <v>47</v>
      </c>
      <c r="C19" s="7" t="s">
        <v>23</v>
      </c>
      <c r="D19" s="7" t="s">
        <v>48</v>
      </c>
      <c r="E19" s="7" t="s">
        <v>11</v>
      </c>
      <c r="F19" s="9" t="str">
        <f t="shared" si="0"/>
        <v>s3://ews-indonesia-mysql-daily-backups/rds_weekly_backup/</v>
      </c>
      <c r="G19" s="6" t="s">
        <v>12</v>
      </c>
    </row>
    <row r="20" spans="1:7" ht="19.5" customHeight="1" x14ac:dyDescent="0.25">
      <c r="A20" s="3">
        <v>19</v>
      </c>
      <c r="B20" s="4" t="s">
        <v>49</v>
      </c>
      <c r="C20" s="3" t="s">
        <v>49</v>
      </c>
      <c r="D20" s="3" t="s">
        <v>50</v>
      </c>
      <c r="E20" s="3" t="s">
        <v>25</v>
      </c>
      <c r="F20" s="5" t="str">
        <f t="shared" si="0"/>
        <v>s3://phenome-ramiro-mysql-weekly/weekly_backup/</v>
      </c>
      <c r="G20" s="6" t="s">
        <v>12</v>
      </c>
    </row>
    <row r="21" spans="1:7" ht="19.5" customHeight="1" x14ac:dyDescent="0.25">
      <c r="A21" s="7">
        <v>20</v>
      </c>
      <c r="B21" s="8" t="s">
        <v>51</v>
      </c>
      <c r="C21" s="7" t="s">
        <v>51</v>
      </c>
      <c r="D21" s="7" t="s">
        <v>52</v>
      </c>
      <c r="E21" s="7" t="s">
        <v>11</v>
      </c>
      <c r="F21" s="9" t="str">
        <f t="shared" si="0"/>
        <v>s3://phenome-mccain-mysql-weekly/rds_weekly_backup/</v>
      </c>
      <c r="G21" s="6" t="s">
        <v>12</v>
      </c>
    </row>
    <row r="22" spans="1:7" ht="19.5" customHeight="1" x14ac:dyDescent="0.25">
      <c r="A22" s="3">
        <v>21</v>
      </c>
      <c r="B22" s="4" t="s">
        <v>53</v>
      </c>
      <c r="C22" s="3" t="s">
        <v>53</v>
      </c>
      <c r="D22" s="3" t="s">
        <v>54</v>
      </c>
      <c r="E22" s="3" t="s">
        <v>30</v>
      </c>
      <c r="F22" s="5" t="str">
        <f t="shared" si="0"/>
        <v>s3://phenome-seedworks-mysql-backup/weekly_backups/</v>
      </c>
      <c r="G22" s="6" t="s">
        <v>12</v>
      </c>
    </row>
    <row r="23" spans="1:7" ht="19.5" customHeight="1" x14ac:dyDescent="0.25">
      <c r="A23" s="7">
        <v>22</v>
      </c>
      <c r="B23" s="8" t="s">
        <v>55</v>
      </c>
      <c r="C23" s="7" t="s">
        <v>55</v>
      </c>
      <c r="D23" s="7" t="s">
        <v>56</v>
      </c>
      <c r="E23" s="7" t="s">
        <v>11</v>
      </c>
      <c r="F23" s="9" t="str">
        <f t="shared" si="0"/>
        <v>s3://phenome-ball-mysql-backup/rds_weekly_backup/</v>
      </c>
      <c r="G23" s="6" t="s">
        <v>12</v>
      </c>
    </row>
    <row r="24" spans="1:7" ht="19.5" customHeight="1" x14ac:dyDescent="0.25">
      <c r="A24" s="3">
        <v>23</v>
      </c>
      <c r="B24" s="4" t="s">
        <v>57</v>
      </c>
      <c r="C24" s="3" t="s">
        <v>58</v>
      </c>
      <c r="D24" s="3" t="s">
        <v>59</v>
      </c>
      <c r="E24" s="3" t="s">
        <v>60</v>
      </c>
      <c r="F24" s="5" t="str">
        <f t="shared" si="0"/>
        <v>s3://phenome-onprem-mysql-backup/axia/</v>
      </c>
      <c r="G24" s="6" t="s">
        <v>12</v>
      </c>
    </row>
    <row r="25" spans="1:7" ht="19.5" customHeight="1" x14ac:dyDescent="0.25">
      <c r="A25" s="7">
        <v>24</v>
      </c>
      <c r="B25" s="8" t="s">
        <v>61</v>
      </c>
      <c r="C25" s="7" t="s">
        <v>61</v>
      </c>
      <c r="D25" s="7" t="s">
        <v>62</v>
      </c>
      <c r="E25" s="7" t="s">
        <v>30</v>
      </c>
      <c r="F25" s="9" t="str">
        <f t="shared" si="0"/>
        <v>s3://phenome-gatesagonetest-mysql-weekly-backup/weekly_backups/</v>
      </c>
      <c r="G25" s="6" t="s">
        <v>12</v>
      </c>
    </row>
    <row r="26" spans="1:7" ht="19.5" customHeight="1" x14ac:dyDescent="0.25">
      <c r="A26" s="3">
        <v>25</v>
      </c>
      <c r="B26" s="4" t="s">
        <v>63</v>
      </c>
      <c r="C26" s="3" t="s">
        <v>61</v>
      </c>
      <c r="D26" s="3" t="s">
        <v>64</v>
      </c>
      <c r="E26" s="3" t="s">
        <v>25</v>
      </c>
      <c r="F26" s="5" t="str">
        <f t="shared" si="0"/>
        <v>s3://phenome-gatesagone-weekly/weekly_backup/</v>
      </c>
      <c r="G26" s="6" t="s">
        <v>12</v>
      </c>
    </row>
    <row r="27" spans="1:7" ht="19.5" customHeight="1" x14ac:dyDescent="0.25">
      <c r="A27" s="7">
        <v>26</v>
      </c>
      <c r="B27" s="8" t="s">
        <v>65</v>
      </c>
      <c r="C27" s="7" t="s">
        <v>65</v>
      </c>
      <c r="D27" s="7" t="s">
        <v>66</v>
      </c>
      <c r="E27" s="7" t="s">
        <v>25</v>
      </c>
      <c r="F27" s="9" t="str">
        <f t="shared" si="0"/>
        <v>s3://phenome-fito-mysql-weekly/weekly_backup/</v>
      </c>
      <c r="G27" s="6" t="s">
        <v>12</v>
      </c>
    </row>
    <row r="28" spans="1:7" ht="19.5" customHeight="1" x14ac:dyDescent="0.25">
      <c r="A28" s="3">
        <v>27</v>
      </c>
      <c r="B28" s="4" t="s">
        <v>67</v>
      </c>
      <c r="C28" s="3" t="s">
        <v>67</v>
      </c>
      <c r="D28" s="3" t="s">
        <v>68</v>
      </c>
      <c r="E28" s="3" t="s">
        <v>25</v>
      </c>
      <c r="F28" s="5" t="str">
        <f t="shared" si="0"/>
        <v>s3://phenome-solynta-mysql-weekly/weekly_backup/</v>
      </c>
      <c r="G28" s="6" t="s">
        <v>12</v>
      </c>
    </row>
    <row r="29" spans="1:7" ht="19.5" customHeight="1" x14ac:dyDescent="0.25">
      <c r="A29" s="7">
        <v>28</v>
      </c>
      <c r="B29" s="8" t="s">
        <v>69</v>
      </c>
      <c r="C29" s="7" t="s">
        <v>67</v>
      </c>
      <c r="D29" s="7" t="s">
        <v>70</v>
      </c>
      <c r="E29" s="7" t="s">
        <v>30</v>
      </c>
      <c r="F29" s="9" t="str">
        <f t="shared" si="0"/>
        <v>s3://phenome-testsolynta-rds-backup/weekly_backups/</v>
      </c>
      <c r="G29" s="6" t="s">
        <v>12</v>
      </c>
    </row>
    <row r="30" spans="1:7" ht="19.5" customHeight="1" x14ac:dyDescent="0.25">
      <c r="A30" s="3">
        <v>29</v>
      </c>
      <c r="B30" s="4" t="s">
        <v>71</v>
      </c>
      <c r="C30" s="3" t="s">
        <v>71</v>
      </c>
      <c r="D30" s="3" t="s">
        <v>72</v>
      </c>
      <c r="E30" s="3" t="s">
        <v>25</v>
      </c>
      <c r="F30" s="5" t="str">
        <f t="shared" si="0"/>
        <v>s3://phenome-syngenta-mysql-weekly/weekly_backup/</v>
      </c>
      <c r="G30" s="6" t="s">
        <v>12</v>
      </c>
    </row>
    <row r="31" spans="1:7" ht="19.5" customHeight="1" x14ac:dyDescent="0.25">
      <c r="A31" s="7">
        <v>30</v>
      </c>
      <c r="B31" s="8" t="s">
        <v>73</v>
      </c>
      <c r="C31" s="7" t="s">
        <v>74</v>
      </c>
      <c r="D31" s="7" t="s">
        <v>75</v>
      </c>
      <c r="E31" s="7" t="s">
        <v>11</v>
      </c>
      <c r="F31" s="9" t="str">
        <f t="shared" si="0"/>
        <v>s3://phenome-saproduceuk-rds-backup/rds_weekly_backup/</v>
      </c>
      <c r="G31" s="6" t="s">
        <v>12</v>
      </c>
    </row>
    <row r="32" spans="1:7" ht="19.5" customHeight="1" x14ac:dyDescent="0.25">
      <c r="A32" s="3">
        <v>31</v>
      </c>
      <c r="B32" s="4" t="s">
        <v>76</v>
      </c>
      <c r="C32" s="3" t="s">
        <v>77</v>
      </c>
      <c r="D32" s="22" t="s">
        <v>119</v>
      </c>
      <c r="E32" s="3" t="s">
        <v>25</v>
      </c>
      <c r="F32" s="5" t="str">
        <f t="shared" si="0"/>
        <v>s3://phen-basf-prod-backup-mysql-weekly/weekly_backup/</v>
      </c>
      <c r="G32" s="6" t="s">
        <v>12</v>
      </c>
    </row>
    <row r="33" spans="1:7" ht="19.5" customHeight="1" x14ac:dyDescent="0.25">
      <c r="A33" s="7">
        <v>32</v>
      </c>
      <c r="B33" s="8" t="s">
        <v>79</v>
      </c>
      <c r="C33" s="7" t="s">
        <v>77</v>
      </c>
      <c r="D33" s="23" t="s">
        <v>122</v>
      </c>
      <c r="E33" s="23" t="s">
        <v>121</v>
      </c>
      <c r="F33" s="5" t="str">
        <f t="shared" si="0"/>
        <v>s3://basf-qual-backup-mysql-weekly/weekly_backup//</v>
      </c>
      <c r="G33" s="6" t="s">
        <v>12</v>
      </c>
    </row>
    <row r="34" spans="1:7" ht="19.5" customHeight="1" x14ac:dyDescent="0.25">
      <c r="A34" s="3">
        <v>33</v>
      </c>
      <c r="B34" s="4" t="s">
        <v>80</v>
      </c>
      <c r="C34" s="3" t="s">
        <v>77</v>
      </c>
      <c r="D34" s="3" t="s">
        <v>120</v>
      </c>
      <c r="E34" s="22" t="s">
        <v>121</v>
      </c>
      <c r="F34" s="5" t="str">
        <f t="shared" si="0"/>
        <v>s3://basf-dev-database-backup /weekly_backup//</v>
      </c>
      <c r="G34" s="6" t="s">
        <v>12</v>
      </c>
    </row>
    <row r="35" spans="1:7" ht="19.5" customHeight="1" x14ac:dyDescent="0.35">
      <c r="A35" s="7">
        <v>34</v>
      </c>
      <c r="B35" s="8" t="s">
        <v>81</v>
      </c>
      <c r="C35" s="7" t="s">
        <v>77</v>
      </c>
      <c r="D35" s="24" t="s">
        <v>123</v>
      </c>
      <c r="E35" t="s">
        <v>121</v>
      </c>
      <c r="F35" s="5" t="str">
        <f t="shared" si="0"/>
        <v>s3://basf-mig-database-backup/weekly_backup//</v>
      </c>
      <c r="G35" s="6" t="s">
        <v>12</v>
      </c>
    </row>
    <row r="36" spans="1:7" ht="19.5" customHeight="1" x14ac:dyDescent="0.25">
      <c r="A36" s="3">
        <v>35</v>
      </c>
      <c r="B36" s="4" t="s">
        <v>82</v>
      </c>
      <c r="C36" s="3" t="s">
        <v>83</v>
      </c>
      <c r="D36" s="3" t="s">
        <v>59</v>
      </c>
      <c r="E36" s="3" t="s">
        <v>117</v>
      </c>
      <c r="F36" s="9" t="str">
        <f t="shared" si="0"/>
        <v>s3://phenome-onprem-mysql-backup/gdmseeds-prod-db-backup/</v>
      </c>
      <c r="G36" s="6" t="s">
        <v>78</v>
      </c>
    </row>
    <row r="37" spans="1:7" ht="19.5" customHeight="1" x14ac:dyDescent="0.25">
      <c r="A37" s="7">
        <v>36</v>
      </c>
      <c r="B37" s="8" t="s">
        <v>84</v>
      </c>
      <c r="C37" s="7" t="s">
        <v>85</v>
      </c>
      <c r="D37" s="7" t="s">
        <v>118</v>
      </c>
      <c r="E37" s="12" t="s">
        <v>11</v>
      </c>
      <c r="F37" s="9" t="str">
        <f>IF(AND(D37&lt;&gt;"",E37&lt;&gt;""),"s3://"&amp;D37&amp;"/"&amp;E37&amp;"/","")</f>
        <v>s3://enza-test-database-backup/rds_weekly_backup/</v>
      </c>
      <c r="G37" s="6" t="s">
        <v>12</v>
      </c>
    </row>
    <row r="38" spans="1:7" ht="19.5" customHeight="1" x14ac:dyDescent="0.25">
      <c r="A38" s="3">
        <v>37</v>
      </c>
      <c r="B38" s="4" t="s">
        <v>86</v>
      </c>
      <c r="C38" s="3" t="s">
        <v>85</v>
      </c>
      <c r="D38" s="3" t="s">
        <v>87</v>
      </c>
      <c r="E38" s="3" t="s">
        <v>11</v>
      </c>
      <c r="F38" s="5" t="str">
        <f t="shared" si="0"/>
        <v>s3://enza-accept-database-backup/rds_weekly_backup/</v>
      </c>
      <c r="G38" s="6" t="s">
        <v>12</v>
      </c>
    </row>
    <row r="39" spans="1:7" ht="19.5" customHeight="1" x14ac:dyDescent="0.25">
      <c r="A39" s="7">
        <v>38</v>
      </c>
      <c r="B39" s="8" t="s">
        <v>88</v>
      </c>
      <c r="C39" s="7" t="s">
        <v>85</v>
      </c>
      <c r="D39" s="7" t="s">
        <v>89</v>
      </c>
      <c r="E39" s="7" t="s">
        <v>25</v>
      </c>
      <c r="F39" s="9" t="str">
        <f t="shared" si="0"/>
        <v>s3://enza-prod-weekly-database-backup/weekly_backup/</v>
      </c>
      <c r="G39" s="6" t="s">
        <v>12</v>
      </c>
    </row>
    <row r="40" spans="1:7" x14ac:dyDescent="0.25">
      <c r="A40" s="3">
        <v>39</v>
      </c>
      <c r="B40" s="4" t="s">
        <v>90</v>
      </c>
      <c r="C40" s="3" t="s">
        <v>90</v>
      </c>
      <c r="D40" s="3" t="s">
        <v>91</v>
      </c>
      <c r="E40" s="3" t="s">
        <v>11</v>
      </c>
      <c r="F40" s="5" t="str">
        <f t="shared" si="0"/>
        <v>s3://phenome-harmoniz-mysql-backup/rds_weekly_backup/</v>
      </c>
      <c r="G40" s="6" t="s">
        <v>12</v>
      </c>
    </row>
    <row r="41" spans="1:7" x14ac:dyDescent="0.25">
      <c r="A41" s="3">
        <v>40</v>
      </c>
      <c r="B41" s="4" t="s">
        <v>92</v>
      </c>
      <c r="C41" s="3" t="s">
        <v>83</v>
      </c>
      <c r="D41" s="3" t="s">
        <v>59</v>
      </c>
      <c r="E41" s="3" t="s">
        <v>93</v>
      </c>
      <c r="F41" s="5" t="str">
        <f t="shared" si="0"/>
        <v>s3://phenome-onprem-mysql-backup/gdmseeds-dev-db-backup/</v>
      </c>
      <c r="G41" s="6" t="s">
        <v>12</v>
      </c>
    </row>
    <row r="42" spans="1:7" x14ac:dyDescent="0.25">
      <c r="A42" s="3">
        <v>42</v>
      </c>
      <c r="B42" s="4" t="s">
        <v>94</v>
      </c>
      <c r="C42" s="3" t="s">
        <v>94</v>
      </c>
      <c r="D42" s="3" t="s">
        <v>95</v>
      </c>
      <c r="E42" s="3" t="s">
        <v>25</v>
      </c>
      <c r="F42" s="5" t="str">
        <f t="shared" si="0"/>
        <v>s3://phenome-harnesstom-mysql-backup/weekly_backup/</v>
      </c>
      <c r="G42" s="6" t="s">
        <v>12</v>
      </c>
    </row>
  </sheetData>
  <autoFilter ref="A2:F39" xr:uid="{00000000-0009-0000-0000-000000000000}"/>
  <mergeCells count="1">
    <mergeCell ref="A1:F1"/>
  </mergeCells>
  <dataValidations count="1">
    <dataValidation type="list" showErrorMessage="1" errorTitle="Invalid value" error="Please select &quot;Yes&quot; or &quot;No&quot;" sqref="G3:G42" xr:uid="{00000000-0002-0000-0000-000000000000}">
      <formula1>"Yes,No"</formula1>
      <formula2>0</formula2>
    </dataValidation>
  </dataValidations>
  <hyperlinks>
    <hyperlink ref="E14" r:id="rId1" xr:uid="{00000000-0004-0000-00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5"/>
  <sheetViews>
    <sheetView zoomScaleNormal="100" workbookViewId="0"/>
  </sheetViews>
  <sheetFormatPr defaultColWidth="8.7109375" defaultRowHeight="15" x14ac:dyDescent="0.25"/>
  <cols>
    <col min="1" max="1" width="90" customWidth="1"/>
  </cols>
  <sheetData>
    <row r="1" spans="1:1" ht="19.5" customHeight="1" x14ac:dyDescent="0.25">
      <c r="A1" s="13" t="s">
        <v>96</v>
      </c>
    </row>
    <row r="2" spans="1:1" ht="9.75" customHeight="1" x14ac:dyDescent="0.25">
      <c r="A2" s="14"/>
    </row>
    <row r="3" spans="1:1" ht="19.5" customHeight="1" x14ac:dyDescent="0.25">
      <c r="A3" s="15" t="s">
        <v>97</v>
      </c>
    </row>
    <row r="4" spans="1:1" ht="19.5" customHeight="1" x14ac:dyDescent="0.25">
      <c r="A4" s="14" t="s">
        <v>98</v>
      </c>
    </row>
    <row r="5" spans="1:1" ht="19.5" customHeight="1" x14ac:dyDescent="0.25">
      <c r="A5" s="14" t="s">
        <v>99</v>
      </c>
    </row>
    <row r="6" spans="1:1" ht="19.5" customHeight="1" x14ac:dyDescent="0.25">
      <c r="A6" s="16" t="s">
        <v>100</v>
      </c>
    </row>
    <row r="7" spans="1:1" ht="19.5" customHeight="1" x14ac:dyDescent="0.25">
      <c r="A7" s="17" t="s">
        <v>101</v>
      </c>
    </row>
    <row r="8" spans="1:1" ht="19.5" customHeight="1" x14ac:dyDescent="0.25">
      <c r="A8" s="14" t="s">
        <v>102</v>
      </c>
    </row>
    <row r="9" spans="1:1" ht="19.5" customHeight="1" x14ac:dyDescent="0.25">
      <c r="A9" s="14" t="s">
        <v>103</v>
      </c>
    </row>
    <row r="10" spans="1:1" ht="9.75" customHeight="1" x14ac:dyDescent="0.25">
      <c r="A10" s="14"/>
    </row>
    <row r="11" spans="1:1" ht="19.5" customHeight="1" x14ac:dyDescent="0.25">
      <c r="A11" s="15" t="s">
        <v>104</v>
      </c>
    </row>
    <row r="12" spans="1:1" ht="19.5" customHeight="1" x14ac:dyDescent="0.25">
      <c r="A12" s="17" t="s">
        <v>105</v>
      </c>
    </row>
    <row r="13" spans="1:1" ht="19.5" customHeight="1" x14ac:dyDescent="0.25">
      <c r="A13" s="17" t="s">
        <v>106</v>
      </c>
    </row>
    <row r="14" spans="1:1" ht="9.75" customHeight="1" x14ac:dyDescent="0.25">
      <c r="A14" s="14"/>
    </row>
    <row r="15" spans="1:1" ht="19.5" customHeight="1" x14ac:dyDescent="0.25">
      <c r="A15" s="15" t="s">
        <v>107</v>
      </c>
    </row>
    <row r="16" spans="1:1" ht="19.5" customHeight="1" x14ac:dyDescent="0.25">
      <c r="A16" s="14" t="s">
        <v>108</v>
      </c>
    </row>
    <row r="17" spans="1:1" ht="19.5" customHeight="1" x14ac:dyDescent="0.25">
      <c r="A17" s="14" t="s">
        <v>109</v>
      </c>
    </row>
    <row r="18" spans="1:1" ht="19.5" customHeight="1" x14ac:dyDescent="0.25">
      <c r="A18" s="14" t="s">
        <v>110</v>
      </c>
    </row>
    <row r="19" spans="1:1" ht="19.5" customHeight="1" x14ac:dyDescent="0.25">
      <c r="A19" s="14" t="s">
        <v>111</v>
      </c>
    </row>
    <row r="20" spans="1:1" ht="9.75" customHeight="1" x14ac:dyDescent="0.25">
      <c r="A20" s="14"/>
    </row>
    <row r="21" spans="1:1" ht="19.5" customHeight="1" x14ac:dyDescent="0.25">
      <c r="A21" s="15" t="s">
        <v>112</v>
      </c>
    </row>
    <row r="22" spans="1:1" ht="19.5" customHeight="1" x14ac:dyDescent="0.25">
      <c r="A22" s="18" t="s">
        <v>113</v>
      </c>
    </row>
    <row r="23" spans="1:1" ht="19.5" customHeight="1" x14ac:dyDescent="0.25">
      <c r="A23" s="19" t="s">
        <v>114</v>
      </c>
    </row>
    <row r="24" spans="1:1" ht="19.5" customHeight="1" x14ac:dyDescent="0.25">
      <c r="A24" s="20" t="s">
        <v>115</v>
      </c>
    </row>
    <row r="25" spans="1:1" ht="19.5" customHeight="1" x14ac:dyDescent="0.25">
      <c r="A25" s="16" t="s">
        <v>116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Backup Config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Itay Blasbalg - IT Administrator</cp:lastModifiedBy>
  <cp:revision>0</cp:revision>
  <dcterms:created xsi:type="dcterms:W3CDTF">2026-05-10T07:29:12Z</dcterms:created>
  <dcterms:modified xsi:type="dcterms:W3CDTF">2026-10-04T11:55:52Z</dcterms:modified>
  <dc:language>en-US</dc:language>
</cp:coreProperties>
</file>