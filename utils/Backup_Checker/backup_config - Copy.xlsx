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 Config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'Backup Config'!$A$2:$F$40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185FA5"/>
      <sz val="10"/>
    </font>
    <font>
      <name val="Arial"/>
      <b val="1"/>
      <color rgb="000D2137"/>
      <sz val="14"/>
    </font>
    <font>
      <name val="Arial"/>
      <color rgb="00000000"/>
      <sz val="11"/>
    </font>
    <font>
      <name val="Arial"/>
      <b val="1"/>
      <color rgb="001F3864"/>
      <sz val="12"/>
    </font>
    <font>
      <name val="Arial"/>
      <color rgb="00666666"/>
      <sz val="11"/>
    </font>
    <font>
      <name val="Arial"/>
      <color rgb="00185FA5"/>
      <sz val="11"/>
    </font>
    <font>
      <name val="Arial"/>
      <color rgb="003B6D11"/>
      <sz val="11"/>
    </font>
    <font>
      <name val="Arial"/>
      <color rgb="00A32D2D"/>
      <sz val="11"/>
    </font>
    <font>
      <name val="Arial"/>
      <color rgb="00854F0B"/>
      <sz val="11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8C9E4"/>
      </left>
      <right style="thin">
        <color rgb="00B8C9E4"/>
      </right>
      <top style="thin">
        <color rgb="00B8C9E4"/>
      </top>
      <bottom style="thin">
        <color rgb="00B8C9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40" customWidth="1" min="4" max="4"/>
    <col width="32" customWidth="1" min="5" max="5"/>
    <col width="50" customWidth="1" min="6" max="6"/>
  </cols>
  <sheetData>
    <row r="1" ht="32" customHeight="1">
      <c r="A1" s="1" t="inlineStr">
        <is>
          <t>Phenome Networks — RDS Backup S3 Configuration</t>
        </is>
      </c>
    </row>
    <row r="2" ht="28" customHeight="1">
      <c r="A2" s="2" t="inlineStr">
        <is>
          <t>#</t>
        </is>
      </c>
      <c r="B2" s="2" t="inlineStr">
        <is>
          <t>Customer</t>
        </is>
      </c>
      <c r="C2" s="2" t="inlineStr">
        <is>
          <t>Group</t>
        </is>
      </c>
      <c r="D2" s="2" t="inlineStr">
        <is>
          <t>Bucket Name</t>
        </is>
      </c>
      <c r="E2" s="2" t="inlineStr">
        <is>
          <t>Prefix (backup parent folder)</t>
        </is>
      </c>
      <c r="F2" s="2" t="inlineStr">
        <is>
          <t>S3 URI  [auto]</t>
        </is>
      </c>
    </row>
    <row r="3" ht="20" customHeight="1">
      <c r="A3" s="3" t="n">
        <v>1</v>
      </c>
      <c r="B3" s="4" t="inlineStr">
        <is>
          <t>Production</t>
        </is>
      </c>
      <c r="C3" s="3" t="inlineStr">
        <is>
          <t>Phenome Networks</t>
        </is>
      </c>
      <c r="D3" s="3" t="inlineStr"/>
      <c r="E3" s="3" t="inlineStr"/>
      <c r="F3" s="5">
        <f>IF(AND(D3&lt;&gt;"",E3&lt;&gt;""),"s3://"&amp;D3&amp;"/"&amp;E3&amp;"/","")</f>
        <v/>
      </c>
    </row>
    <row r="4" ht="20" customHeight="1">
      <c r="A4" s="6" t="n">
        <v>2</v>
      </c>
      <c r="B4" s="7" t="inlineStr">
        <is>
          <t>Sakata</t>
        </is>
      </c>
      <c r="C4" s="6" t="inlineStr">
        <is>
          <t>Sakata</t>
        </is>
      </c>
      <c r="D4" s="6" t="inlineStr"/>
      <c r="E4" s="6" t="inlineStr"/>
      <c r="F4" s="8">
        <f>IF(AND(D4&lt;&gt;"",E4&lt;&gt;""),"s3://"&amp;D4&amp;"/"&amp;E4&amp;"/","")</f>
        <v/>
      </c>
    </row>
    <row r="5" ht="20" customHeight="1">
      <c r="A5" s="3" t="n">
        <v>3</v>
      </c>
      <c r="B5" s="4" t="inlineStr">
        <is>
          <t>Sakata - Test</t>
        </is>
      </c>
      <c r="C5" s="3" t="inlineStr">
        <is>
          <t>Sakata</t>
        </is>
      </c>
      <c r="D5" s="3" t="inlineStr"/>
      <c r="E5" s="3" t="inlineStr"/>
      <c r="F5" s="5">
        <f>IF(AND(D5&lt;&gt;"",E5&lt;&gt;""),"s3://"&amp;D5&amp;"/"&amp;E5&amp;"/","")</f>
        <v/>
      </c>
    </row>
    <row r="6" ht="20" customHeight="1">
      <c r="A6" s="6" t="n">
        <v>4</v>
      </c>
      <c r="B6" s="7" t="inlineStr">
        <is>
          <t>Top Seeds</t>
        </is>
      </c>
      <c r="C6" s="6" t="inlineStr">
        <is>
          <t>Top Seeds</t>
        </is>
      </c>
      <c r="D6" s="6" t="inlineStr"/>
      <c r="E6" s="6" t="inlineStr"/>
      <c r="F6" s="8">
        <f>IF(AND(D6&lt;&gt;"",E6&lt;&gt;""),"s3://"&amp;D6&amp;"/"&amp;E6&amp;"/","")</f>
        <v/>
      </c>
    </row>
    <row r="7" ht="20" customHeight="1">
      <c r="A7" s="3" t="n">
        <v>5</v>
      </c>
      <c r="B7" s="4" t="inlineStr">
        <is>
          <t>Kimberly Clark - EKS</t>
        </is>
      </c>
      <c r="C7" s="3" t="inlineStr">
        <is>
          <t>Kimberly Clark</t>
        </is>
      </c>
      <c r="D7" s="3" t="inlineStr"/>
      <c r="E7" s="3" t="inlineStr"/>
      <c r="F7" s="5">
        <f>IF(AND(D7&lt;&gt;"",E7&lt;&gt;""),"s3://"&amp;D7&amp;"/"&amp;E7&amp;"/","")</f>
        <v/>
      </c>
    </row>
    <row r="8" ht="20" customHeight="1">
      <c r="A8" s="6" t="n">
        <v>6</v>
      </c>
      <c r="B8" s="7" t="inlineStr">
        <is>
          <t>East West Seeds</t>
        </is>
      </c>
      <c r="C8" s="6" t="inlineStr">
        <is>
          <t>East West Seeds</t>
        </is>
      </c>
      <c r="D8" s="6" t="inlineStr"/>
      <c r="E8" s="6" t="inlineStr"/>
      <c r="F8" s="8">
        <f>IF(AND(D8&lt;&gt;"",E8&lt;&gt;""),"s3://"&amp;D8&amp;"/"&amp;E8&amp;"/","")</f>
        <v/>
      </c>
    </row>
    <row r="9" ht="20" customHeight="1">
      <c r="A9" s="3" t="n">
        <v>7</v>
      </c>
      <c r="B9" s="4" t="inlineStr">
        <is>
          <t>Danziger</t>
        </is>
      </c>
      <c r="C9" s="3" t="inlineStr">
        <is>
          <t>Danziger</t>
        </is>
      </c>
      <c r="D9" s="3" t="inlineStr"/>
      <c r="E9" s="3" t="inlineStr"/>
      <c r="F9" s="5">
        <f>IF(AND(D9&lt;&gt;"",E9&lt;&gt;""),"s3://"&amp;D9&amp;"/"&amp;E9&amp;"/","")</f>
        <v/>
      </c>
    </row>
    <row r="10" ht="20" customHeight="1">
      <c r="A10" s="6" t="n">
        <v>8</v>
      </c>
      <c r="B10" s="7" t="inlineStr">
        <is>
          <t>Starke Ayres</t>
        </is>
      </c>
      <c r="C10" s="6" t="inlineStr">
        <is>
          <t>Starke Ayres</t>
        </is>
      </c>
      <c r="D10" s="6" t="inlineStr"/>
      <c r="E10" s="6" t="inlineStr"/>
      <c r="F10" s="8">
        <f>IF(AND(D10&lt;&gt;"",E10&lt;&gt;""),"s3://"&amp;D10&amp;"/"&amp;E10&amp;"/","")</f>
        <v/>
      </c>
    </row>
    <row r="11" ht="20" customHeight="1">
      <c r="A11" s="3" t="n">
        <v>9</v>
      </c>
      <c r="B11" s="4" t="inlineStr">
        <is>
          <t>Gautier</t>
        </is>
      </c>
      <c r="C11" s="3" t="inlineStr">
        <is>
          <t>Gautier</t>
        </is>
      </c>
      <c r="D11" s="3" t="inlineStr"/>
      <c r="E11" s="3" t="inlineStr"/>
      <c r="F11" s="5">
        <f>IF(AND(D11&lt;&gt;"",E11&lt;&gt;""),"s3://"&amp;D11&amp;"/"&amp;E11&amp;"/","")</f>
        <v/>
      </c>
    </row>
    <row r="12" ht="20" customHeight="1">
      <c r="A12" s="6" t="n">
        <v>10</v>
      </c>
      <c r="B12" s="7" t="inlineStr">
        <is>
          <t>Mahyco</t>
        </is>
      </c>
      <c r="C12" s="6" t="inlineStr">
        <is>
          <t>Mahyco</t>
        </is>
      </c>
      <c r="D12" s="6" t="inlineStr"/>
      <c r="E12" s="6" t="inlineStr"/>
      <c r="F12" s="8">
        <f>IF(AND(D12&lt;&gt;"",E12&lt;&gt;""),"s3://"&amp;D12&amp;"/"&amp;E12&amp;"/","")</f>
        <v/>
      </c>
    </row>
    <row r="13" ht="20" customHeight="1">
      <c r="A13" s="3" t="n">
        <v>11</v>
      </c>
      <c r="B13" s="4" t="inlineStr">
        <is>
          <t>Planasa</t>
        </is>
      </c>
      <c r="C13" s="3" t="inlineStr">
        <is>
          <t>Planasa</t>
        </is>
      </c>
      <c r="D13" s="3" t="inlineStr"/>
      <c r="E13" s="3" t="inlineStr"/>
      <c r="F13" s="5">
        <f>IF(AND(D13&lt;&gt;"",E13&lt;&gt;""),"s3://"&amp;D13&amp;"/"&amp;E13&amp;"/","")</f>
        <v/>
      </c>
    </row>
    <row r="14" ht="20" customHeight="1">
      <c r="A14" s="6" t="n">
        <v>12</v>
      </c>
      <c r="B14" s="7" t="inlineStr">
        <is>
          <t>Farm Hannong</t>
        </is>
      </c>
      <c r="C14" s="6" t="inlineStr">
        <is>
          <t>Farm Hannong</t>
        </is>
      </c>
      <c r="D14" s="6" t="inlineStr"/>
      <c r="E14" s="6" t="inlineStr"/>
      <c r="F14" s="8">
        <f>IF(AND(D14&lt;&gt;"",E14&lt;&gt;""),"s3://"&amp;D14&amp;"/"&amp;E14&amp;"/","")</f>
        <v/>
      </c>
    </row>
    <row r="15" ht="20" customHeight="1">
      <c r="A15" s="3" t="n">
        <v>13</v>
      </c>
      <c r="B15" s="4" t="inlineStr">
        <is>
          <t>Kaiima</t>
        </is>
      </c>
      <c r="C15" s="3" t="inlineStr">
        <is>
          <t>Kaiima</t>
        </is>
      </c>
      <c r="D15" s="3" t="inlineStr"/>
      <c r="E15" s="3" t="inlineStr"/>
      <c r="F15" s="5">
        <f>IF(AND(D15&lt;&gt;"",E15&lt;&gt;""),"s3://"&amp;D15&amp;"/"&amp;E15&amp;"/","")</f>
        <v/>
      </c>
    </row>
    <row r="16" ht="20" customHeight="1">
      <c r="A16" s="6" t="n">
        <v>14</v>
      </c>
      <c r="B16" s="7" t="inlineStr">
        <is>
          <t>Kraftheinz</t>
        </is>
      </c>
      <c r="C16" s="6" t="inlineStr">
        <is>
          <t>Kraftheinz</t>
        </is>
      </c>
      <c r="D16" s="6" t="inlineStr"/>
      <c r="E16" s="6" t="inlineStr"/>
      <c r="F16" s="8">
        <f>IF(AND(D16&lt;&gt;"",E16&lt;&gt;""),"s3://"&amp;D16&amp;"/"&amp;E16&amp;"/","")</f>
        <v/>
      </c>
    </row>
    <row r="17" ht="20" customHeight="1">
      <c r="A17" s="3" t="n">
        <v>15</v>
      </c>
      <c r="B17" s="4" t="inlineStr">
        <is>
          <t>Pepsico</t>
        </is>
      </c>
      <c r="C17" s="3" t="inlineStr">
        <is>
          <t>Pepsico</t>
        </is>
      </c>
      <c r="D17" s="3" t="inlineStr"/>
      <c r="E17" s="3" t="inlineStr"/>
      <c r="F17" s="5">
        <f>IF(AND(D17&lt;&gt;"",E17&lt;&gt;""),"s3://"&amp;D17&amp;"/"&amp;E17&amp;"/","")</f>
        <v/>
      </c>
    </row>
    <row r="18" ht="20" customHeight="1">
      <c r="A18" s="6" t="n">
        <v>16</v>
      </c>
      <c r="B18" s="7" t="inlineStr">
        <is>
          <t>Origene</t>
        </is>
      </c>
      <c r="C18" s="6" t="inlineStr">
        <is>
          <t>Origene</t>
        </is>
      </c>
      <c r="D18" s="6" t="inlineStr"/>
      <c r="E18" s="6" t="inlineStr"/>
      <c r="F18" s="8">
        <f>IF(AND(D18&lt;&gt;"",E18&lt;&gt;""),"s3://"&amp;D18&amp;"/"&amp;E18&amp;"/","")</f>
        <v/>
      </c>
    </row>
    <row r="19" ht="20" customHeight="1">
      <c r="A19" s="3" t="n">
        <v>17</v>
      </c>
      <c r="B19" s="4" t="inlineStr">
        <is>
          <t>British American (BAT)</t>
        </is>
      </c>
      <c r="C19" s="3" t="inlineStr">
        <is>
          <t>BAT</t>
        </is>
      </c>
      <c r="D19" s="3" t="inlineStr"/>
      <c r="E19" s="3" t="inlineStr"/>
      <c r="F19" s="5">
        <f>IF(AND(D19&lt;&gt;"",E19&lt;&gt;""),"s3://"&amp;D19&amp;"/"&amp;E19&amp;"/","")</f>
        <v/>
      </c>
    </row>
    <row r="20" ht="20" customHeight="1">
      <c r="A20" s="6" t="n">
        <v>18</v>
      </c>
      <c r="B20" s="7" t="inlineStr">
        <is>
          <t>East West Seeds Indonesia</t>
        </is>
      </c>
      <c r="C20" s="6" t="inlineStr">
        <is>
          <t>East West Seeds</t>
        </is>
      </c>
      <c r="D20" s="6" t="inlineStr">
        <is>
          <t>ews-indonesia-mysql-daily-backups</t>
        </is>
      </c>
      <c r="E20" s="6" t="inlineStr">
        <is>
          <t>rds_weekly_backup</t>
        </is>
      </c>
      <c r="F20" s="8">
        <f>IF(AND(D20&lt;&gt;"",E20&lt;&gt;""),"s3://"&amp;D20&amp;"/"&amp;E20&amp;"/","")</f>
        <v/>
      </c>
    </row>
    <row r="21" ht="20" customHeight="1">
      <c r="A21" s="3" t="n">
        <v>19</v>
      </c>
      <c r="B21" s="4" t="inlineStr">
        <is>
          <t>Ramiro</t>
        </is>
      </c>
      <c r="C21" s="3" t="inlineStr">
        <is>
          <t>Ramiro</t>
        </is>
      </c>
      <c r="D21" s="3" t="inlineStr"/>
      <c r="E21" s="3" t="inlineStr"/>
      <c r="F21" s="5">
        <f>IF(AND(D21&lt;&gt;"",E21&lt;&gt;""),"s3://"&amp;D21&amp;"/"&amp;E21&amp;"/","")</f>
        <v/>
      </c>
    </row>
    <row r="22" ht="20" customHeight="1">
      <c r="A22" s="6" t="n">
        <v>20</v>
      </c>
      <c r="B22" s="7" t="inlineStr">
        <is>
          <t>McCain</t>
        </is>
      </c>
      <c r="C22" s="6" t="inlineStr">
        <is>
          <t>McCain</t>
        </is>
      </c>
      <c r="D22" s="6" t="inlineStr"/>
      <c r="E22" s="6" t="inlineStr"/>
      <c r="F22" s="8">
        <f>IF(AND(D22&lt;&gt;"",E22&lt;&gt;""),"s3://"&amp;D22&amp;"/"&amp;E22&amp;"/","")</f>
        <v/>
      </c>
    </row>
    <row r="23" ht="20" customHeight="1">
      <c r="A23" s="3" t="n">
        <v>21</v>
      </c>
      <c r="B23" s="4" t="inlineStr">
        <is>
          <t>Seedworks</t>
        </is>
      </c>
      <c r="C23" s="3" t="inlineStr">
        <is>
          <t>Seedworks</t>
        </is>
      </c>
      <c r="D23" s="3" t="inlineStr"/>
      <c r="E23" s="3" t="inlineStr"/>
      <c r="F23" s="5">
        <f>IF(AND(D23&lt;&gt;"",E23&lt;&gt;""),"s3://"&amp;D23&amp;"/"&amp;E23&amp;"/","")</f>
        <v/>
      </c>
    </row>
    <row r="24" ht="20" customHeight="1">
      <c r="A24" s="6" t="n">
        <v>22</v>
      </c>
      <c r="B24" s="7" t="inlineStr">
        <is>
          <t>Ball</t>
        </is>
      </c>
      <c r="C24" s="6" t="inlineStr">
        <is>
          <t>Ball</t>
        </is>
      </c>
      <c r="D24" s="6" t="inlineStr"/>
      <c r="E24" s="6" t="inlineStr"/>
      <c r="F24" s="8">
        <f>IF(AND(D24&lt;&gt;"",E24&lt;&gt;""),"s3://"&amp;D24&amp;"/"&amp;E24&amp;"/","")</f>
        <v/>
      </c>
    </row>
    <row r="25" ht="20" customHeight="1">
      <c r="A25" s="3" t="n">
        <v>23</v>
      </c>
      <c r="B25" s="4" t="inlineStr">
        <is>
          <t>Axia Seeds (VoloAgri)</t>
        </is>
      </c>
      <c r="C25" s="3" t="inlineStr">
        <is>
          <t>VoloAgri</t>
        </is>
      </c>
      <c r="D25" s="3" t="inlineStr"/>
      <c r="E25" s="3" t="inlineStr"/>
      <c r="F25" s="5">
        <f>IF(AND(D25&lt;&gt;"",E25&lt;&gt;""),"s3://"&amp;D25&amp;"/"&amp;E25&amp;"/","")</f>
        <v/>
      </c>
    </row>
    <row r="26" ht="20" customHeight="1">
      <c r="A26" s="6" t="n">
        <v>24</v>
      </c>
      <c r="B26" s="7" t="inlineStr">
        <is>
          <t>Gates Ag One</t>
        </is>
      </c>
      <c r="C26" s="6" t="inlineStr">
        <is>
          <t>Gates Ag One</t>
        </is>
      </c>
      <c r="D26" s="6" t="inlineStr"/>
      <c r="E26" s="6" t="inlineStr"/>
      <c r="F26" s="8">
        <f>IF(AND(D26&lt;&gt;"",E26&lt;&gt;""),"s3://"&amp;D26&amp;"/"&amp;E26&amp;"/","")</f>
        <v/>
      </c>
    </row>
    <row r="27" ht="20" customHeight="1">
      <c r="A27" s="3" t="n">
        <v>25</v>
      </c>
      <c r="B27" s="4" t="inlineStr">
        <is>
          <t>Gates Ag One - TEST</t>
        </is>
      </c>
      <c r="C27" s="3" t="inlineStr">
        <is>
          <t>Gates Ag One</t>
        </is>
      </c>
      <c r="D27" s="3" t="inlineStr"/>
      <c r="E27" s="3" t="inlineStr"/>
      <c r="F27" s="5">
        <f>IF(AND(D27&lt;&gt;"",E27&lt;&gt;""),"s3://"&amp;D27&amp;"/"&amp;E27&amp;"/","")</f>
        <v/>
      </c>
    </row>
    <row r="28" ht="20" customHeight="1">
      <c r="A28" s="6" t="n">
        <v>26</v>
      </c>
      <c r="B28" s="7" t="inlineStr">
        <is>
          <t>Fito</t>
        </is>
      </c>
      <c r="C28" s="6" t="inlineStr">
        <is>
          <t>Fito</t>
        </is>
      </c>
      <c r="D28" s="6" t="inlineStr"/>
      <c r="E28" s="6" t="inlineStr"/>
      <c r="F28" s="8">
        <f>IF(AND(D28&lt;&gt;"",E28&lt;&gt;""),"s3://"&amp;D28&amp;"/"&amp;E28&amp;"/","")</f>
        <v/>
      </c>
    </row>
    <row r="29" ht="20" customHeight="1">
      <c r="A29" s="3" t="n">
        <v>27</v>
      </c>
      <c r="B29" s="4" t="inlineStr">
        <is>
          <t>Solynta</t>
        </is>
      </c>
      <c r="C29" s="3" t="inlineStr">
        <is>
          <t>Solynta</t>
        </is>
      </c>
      <c r="D29" s="3" t="inlineStr"/>
      <c r="E29" s="3" t="inlineStr"/>
      <c r="F29" s="5">
        <f>IF(AND(D29&lt;&gt;"",E29&lt;&gt;""),"s3://"&amp;D29&amp;"/"&amp;E29&amp;"/","")</f>
        <v/>
      </c>
    </row>
    <row r="30" ht="20" customHeight="1">
      <c r="A30" s="6" t="n">
        <v>28</v>
      </c>
      <c r="B30" s="7" t="inlineStr">
        <is>
          <t>Solynta - TEST</t>
        </is>
      </c>
      <c r="C30" s="6" t="inlineStr">
        <is>
          <t>Solynta</t>
        </is>
      </c>
      <c r="D30" s="6" t="inlineStr"/>
      <c r="E30" s="6" t="inlineStr"/>
      <c r="F30" s="8">
        <f>IF(AND(D30&lt;&gt;"",E30&lt;&gt;""),"s3://"&amp;D30&amp;"/"&amp;E30&amp;"/","")</f>
        <v/>
      </c>
    </row>
    <row r="31" ht="20" customHeight="1">
      <c r="A31" s="3" t="n">
        <v>29</v>
      </c>
      <c r="B31" s="4" t="inlineStr">
        <is>
          <t>Syngenta</t>
        </is>
      </c>
      <c r="C31" s="3" t="inlineStr">
        <is>
          <t>Syngenta</t>
        </is>
      </c>
      <c r="D31" s="3" t="inlineStr"/>
      <c r="E31" s="3" t="inlineStr"/>
      <c r="F31" s="5">
        <f>IF(AND(D31&lt;&gt;"",E31&lt;&gt;""),"s3://"&amp;D31&amp;"/"&amp;E31&amp;"/","")</f>
        <v/>
      </c>
    </row>
    <row r="32" ht="20" customHeight="1">
      <c r="A32" s="6" t="n">
        <v>30</v>
      </c>
      <c r="B32" s="7" t="inlineStr">
        <is>
          <t>S&amp;A Produce UK</t>
        </is>
      </c>
      <c r="C32" s="6" t="inlineStr">
        <is>
          <t>S&amp;A Produce</t>
        </is>
      </c>
      <c r="D32" s="6" t="inlineStr"/>
      <c r="E32" s="6" t="inlineStr"/>
      <c r="F32" s="8">
        <f>IF(AND(D32&lt;&gt;"",E32&lt;&gt;""),"s3://"&amp;D32&amp;"/"&amp;E32&amp;"/","")</f>
        <v/>
      </c>
    </row>
    <row r="33" ht="20" customHeight="1">
      <c r="A33" s="3" t="n">
        <v>31</v>
      </c>
      <c r="B33" s="4" t="inlineStr">
        <is>
          <t>BASF - Production</t>
        </is>
      </c>
      <c r="C33" s="3" t="inlineStr">
        <is>
          <t>BASF</t>
        </is>
      </c>
      <c r="D33" s="3" t="inlineStr"/>
      <c r="E33" s="3" t="inlineStr"/>
      <c r="F33" s="5">
        <f>IF(AND(D33&lt;&gt;"",E33&lt;&gt;""),"s3://"&amp;D33&amp;"/"&amp;E33&amp;"/","")</f>
        <v/>
      </c>
    </row>
    <row r="34" ht="20" customHeight="1">
      <c r="A34" s="6" t="n">
        <v>32</v>
      </c>
      <c r="B34" s="7" t="inlineStr">
        <is>
          <t>BASF - QA (QUAL)</t>
        </is>
      </c>
      <c r="C34" s="6" t="inlineStr">
        <is>
          <t>BASF</t>
        </is>
      </c>
      <c r="D34" s="6" t="inlineStr"/>
      <c r="E34" s="6" t="inlineStr"/>
      <c r="F34" s="8">
        <f>IF(AND(D34&lt;&gt;"",E34&lt;&gt;""),"s3://"&amp;D34&amp;"/"&amp;E34&amp;"/","")</f>
        <v/>
      </c>
    </row>
    <row r="35" ht="20" customHeight="1">
      <c r="A35" s="3" t="n">
        <v>33</v>
      </c>
      <c r="B35" s="4" t="inlineStr">
        <is>
          <t>BASF - DEV</t>
        </is>
      </c>
      <c r="C35" s="3" t="inlineStr">
        <is>
          <t>BASF</t>
        </is>
      </c>
      <c r="D35" s="3" t="inlineStr"/>
      <c r="E35" s="3" t="inlineStr"/>
      <c r="F35" s="5">
        <f>IF(AND(D35&lt;&gt;"",E35&lt;&gt;""),"s3://"&amp;D35&amp;"/"&amp;E35&amp;"/","")</f>
        <v/>
      </c>
    </row>
    <row r="36" ht="20" customHeight="1">
      <c r="A36" s="6" t="n">
        <v>34</v>
      </c>
      <c r="B36" s="7" t="inlineStr">
        <is>
          <t>BASF - Migration</t>
        </is>
      </c>
      <c r="C36" s="6" t="inlineStr">
        <is>
          <t>BASF</t>
        </is>
      </c>
      <c r="D36" s="6" t="inlineStr"/>
      <c r="E36" s="6" t="inlineStr"/>
      <c r="F36" s="8">
        <f>IF(AND(D36&lt;&gt;"",E36&lt;&gt;""),"s3://"&amp;D36&amp;"/"&amp;E36&amp;"/","")</f>
        <v/>
      </c>
    </row>
    <row r="37" ht="20" customHeight="1">
      <c r="A37" s="3" t="n">
        <v>35</v>
      </c>
      <c r="B37" s="4" t="inlineStr">
        <is>
          <t>GDM Production</t>
        </is>
      </c>
      <c r="C37" s="3" t="inlineStr">
        <is>
          <t>GDM</t>
        </is>
      </c>
      <c r="D37" s="3" t="inlineStr"/>
      <c r="E37" s="3" t="inlineStr"/>
      <c r="F37" s="5">
        <f>IF(AND(D37&lt;&gt;"",E37&lt;&gt;""),"s3://"&amp;D37&amp;"/"&amp;E37&amp;"/","")</f>
        <v/>
      </c>
    </row>
    <row r="38" ht="20" customHeight="1">
      <c r="A38" s="6" t="n">
        <v>36</v>
      </c>
      <c r="B38" s="7" t="inlineStr">
        <is>
          <t>Enza Test</t>
        </is>
      </c>
      <c r="C38" s="6" t="inlineStr">
        <is>
          <t>Enza Zaden</t>
        </is>
      </c>
      <c r="D38" s="6" t="inlineStr"/>
      <c r="E38" s="6" t="inlineStr"/>
      <c r="F38" s="8">
        <f>IF(AND(D38&lt;&gt;"",E38&lt;&gt;""),"s3://"&amp;D38&amp;"/"&amp;E38&amp;"/","")</f>
        <v/>
      </c>
    </row>
    <row r="39" ht="20" customHeight="1">
      <c r="A39" s="3" t="n">
        <v>37</v>
      </c>
      <c r="B39" s="4" t="inlineStr">
        <is>
          <t>Enza Accept</t>
        </is>
      </c>
      <c r="C39" s="3" t="inlineStr">
        <is>
          <t>Enza Zaden</t>
        </is>
      </c>
      <c r="D39" s="3" t="inlineStr"/>
      <c r="E39" s="3" t="inlineStr"/>
      <c r="F39" s="5">
        <f>IF(AND(D39&lt;&gt;"",E39&lt;&gt;""),"s3://"&amp;D39&amp;"/"&amp;E39&amp;"/","")</f>
        <v/>
      </c>
    </row>
    <row r="40" ht="20" customHeight="1">
      <c r="A40" s="6" t="n">
        <v>38</v>
      </c>
      <c r="B40" s="7" t="inlineStr">
        <is>
          <t>Enza Production</t>
        </is>
      </c>
      <c r="C40" s="6" t="inlineStr">
        <is>
          <t>Enza Zaden</t>
        </is>
      </c>
      <c r="D40" s="6" t="inlineStr"/>
      <c r="E40" s="6" t="inlineStr"/>
      <c r="F40" s="8">
        <f>IF(AND(D40&lt;&gt;"",E40&lt;&gt;""),"s3://"&amp;D40&amp;"/"&amp;E40&amp;"/","")</f>
        <v/>
      </c>
    </row>
  </sheetData>
  <autoFilter ref="A2:F4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9" t="inlineStr">
        <is>
          <t>Phenome Networks — Backup Config Instructions</t>
        </is>
      </c>
    </row>
    <row r="2" ht="10" customHeight="1">
      <c r="A2" s="10" t="inlineStr"/>
    </row>
    <row r="3" ht="20" customHeight="1">
      <c r="A3" s="11" t="inlineStr">
        <is>
          <t>How to use this file</t>
        </is>
      </c>
    </row>
    <row r="4" ht="20" customHeight="1">
      <c r="A4" s="10" t="inlineStr">
        <is>
          <t>1. Fill in 'Bucket Name' (column D) — just the bucket name, no s3:// prefix.</t>
        </is>
      </c>
    </row>
    <row r="5" ht="20" customHeight="1">
      <c r="A5" s="10" t="inlineStr">
        <is>
          <t>2. Fill in 'Prefix' (column E) — the parent folder where the date subfolder is created.</t>
        </is>
      </c>
    </row>
    <row r="6" ht="20" customHeight="1">
      <c r="A6" s="12" t="inlineStr">
        <is>
          <t xml:space="preserve">   Example:  bucket = ews-indonesia-mysql-daily-backups  |  prefix = rds_weekly_backup</t>
        </is>
      </c>
    </row>
    <row r="7" ht="20" customHeight="1">
      <c r="A7" s="13" t="inlineStr">
        <is>
          <t xml:space="preserve">   The script will look inside: s3://ews-indonesia-mysql-daily-backups/rds_weekly_backup/2026-05-09/</t>
        </is>
      </c>
    </row>
    <row r="8" ht="20" customHeight="1">
      <c r="A8" s="10" t="inlineStr">
        <is>
          <t>3. Column F (S3 URI) is calculated automatically — do not edit it.</t>
        </is>
      </c>
    </row>
    <row r="9" ht="20" customHeight="1">
      <c r="A9" s="10" t="inlineStr">
        <is>
          <t>4. To add a new customer: add a new row at the bottom and fill columns A–E.</t>
        </is>
      </c>
    </row>
    <row r="10" ht="10" customHeight="1">
      <c r="A10" s="10" t="inlineStr"/>
    </row>
    <row r="11" ht="20" customHeight="1">
      <c r="A11" s="11" t="inlineStr">
        <is>
          <t>Running the script</t>
        </is>
      </c>
    </row>
    <row r="12" ht="20" customHeight="1">
      <c r="A12" s="13" t="inlineStr">
        <is>
          <t>pip install boto3 openpyxl</t>
        </is>
      </c>
    </row>
    <row r="13" ht="20" customHeight="1">
      <c r="A13" s="13" t="inlineStr">
        <is>
          <t>python backup_checker.py --config buckets.xlsx --profile your-aws-profile</t>
        </is>
      </c>
    </row>
    <row r="14" ht="10" customHeight="1">
      <c r="A14" s="10" t="inlineStr"/>
    </row>
    <row r="15" ht="20" customHeight="1">
      <c r="A15" s="11" t="inlineStr">
        <is>
          <t>Flags</t>
        </is>
      </c>
    </row>
    <row r="16" ht="20" customHeight="1">
      <c r="A16" s="10" t="inlineStr">
        <is>
          <t>--config         Path to this Excel file (default: buckets.xlsx)</t>
        </is>
      </c>
    </row>
    <row r="17" ht="20" customHeight="1">
      <c r="A17" s="10" t="inlineStr">
        <is>
          <t>--output         Output JSON path (default: backup_report.json)</t>
        </is>
      </c>
    </row>
    <row r="18" ht="20" customHeight="1">
      <c r="A18" s="10" t="inlineStr">
        <is>
          <t>--profile        AWS profile name</t>
        </is>
      </c>
    </row>
    <row r="19" ht="20" customHeight="1">
      <c r="A19" s="10" t="inlineStr">
        <is>
          <t>--min-size-mb    Flag backups smaller than N MB as 'suspect' (default: 100)</t>
        </is>
      </c>
    </row>
    <row r="20" ht="10" customHeight="1">
      <c r="A20" s="10" t="inlineStr"/>
    </row>
    <row r="21" ht="20" customHeight="1">
      <c r="A21" s="11" t="inlineStr">
        <is>
          <t>Status definitions</t>
        </is>
      </c>
    </row>
    <row r="22" ht="20" customHeight="1">
      <c r="A22" s="14" t="inlineStr">
        <is>
          <t>✓  OK           Backup found, file size above threshold</t>
        </is>
      </c>
    </row>
    <row r="23" ht="20" customHeight="1">
      <c r="A23" s="15" t="inlineStr">
        <is>
          <t>✗  Missing      No date folder or no files found in the folder</t>
        </is>
      </c>
    </row>
    <row r="24" ht="20" customHeight="1">
      <c r="A24" s="16" t="inlineStr">
        <is>
          <t>⚠  Suspect      Files found but total size is below --min-size-mb threshold</t>
        </is>
      </c>
    </row>
    <row r="25" ht="20" customHeight="1">
      <c r="A25" s="12" t="inlineStr">
        <is>
          <t>—  N/A          Bucket or prefix not configured (empty cells)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2026-05-10T07:29:12Z</dcterms:created>
  <dcterms:modified xmlns:dcterms="http://purl.org/dc/terms/" xmlns:xsi="http://www.w3.org/2001/XMLSchema-instance" xsi:type="dcterms:W3CDTF">2026-05-10T07:29:12Z</dcterms:modified>
</cp:coreProperties>
</file>